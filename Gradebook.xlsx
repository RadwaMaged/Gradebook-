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CAFCFC5-4AC0-45F6-8D09-0F797293B193}" xr6:coauthVersionLast="47" xr6:coauthVersionMax="47" xr10:uidLastSave="{00000000-0000-0000-0000-000000000000}"/>
  <bookViews>
    <workbookView xWindow="-120" yWindow="-120" windowWidth="20730" windowHeight="11160" xr2:uid="{B838D3D5-4938-4E66-8DF9-2B0AEBAF2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9" i="1"/>
  <c r="J9" i="1"/>
  <c r="K9" i="1"/>
  <c r="I8" i="1"/>
  <c r="J8" i="1"/>
  <c r="K8" i="1"/>
  <c r="I20" i="1"/>
  <c r="J20" i="1"/>
  <c r="K20" i="1"/>
  <c r="I18" i="1"/>
  <c r="J18" i="1"/>
  <c r="K18" i="1"/>
  <c r="I19" i="1"/>
  <c r="J19" i="1"/>
  <c r="K19" i="1"/>
  <c r="I16" i="1"/>
  <c r="J16" i="1"/>
  <c r="K16" i="1"/>
  <c r="I17" i="1"/>
  <c r="J17" i="1"/>
  <c r="K17" i="1"/>
  <c r="I15" i="1"/>
  <c r="J15" i="1"/>
  <c r="K15" i="1"/>
  <c r="I7" i="1"/>
  <c r="J7" i="1"/>
  <c r="K7" i="1"/>
  <c r="I6" i="1"/>
  <c r="J6" i="1"/>
  <c r="K6" i="1"/>
  <c r="I14" i="1"/>
  <c r="J14" i="1"/>
  <c r="K14" i="1"/>
  <c r="I13" i="1"/>
  <c r="J13" i="1"/>
  <c r="K13" i="1"/>
  <c r="K12" i="1"/>
  <c r="I12" i="1"/>
  <c r="J12" i="1"/>
  <c r="I11" i="1"/>
  <c r="J11" i="1"/>
  <c r="K11" i="1"/>
  <c r="I10" i="1"/>
  <c r="J10" i="1"/>
  <c r="K10" i="1"/>
  <c r="I5" i="1"/>
  <c r="J5" i="1"/>
  <c r="K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I4" i="1"/>
  <c r="J4" i="1"/>
  <c r="K4" i="1"/>
  <c r="H4" i="1"/>
</calcChain>
</file>

<file path=xl/sharedStrings.xml><?xml version="1.0" encoding="utf-8"?>
<sst xmlns="http://schemas.openxmlformats.org/spreadsheetml/2006/main" count="50" uniqueCount="36">
  <si>
    <t>Last Name</t>
  </si>
  <si>
    <t xml:space="preserve">First Name </t>
  </si>
  <si>
    <t>Safety Test</t>
  </si>
  <si>
    <t>Company Test</t>
  </si>
  <si>
    <t>Financial Test</t>
  </si>
  <si>
    <t>Drug Test</t>
  </si>
  <si>
    <t>Grade Book</t>
  </si>
  <si>
    <t>Karim</t>
  </si>
  <si>
    <t>Osman</t>
  </si>
  <si>
    <t>George</t>
  </si>
  <si>
    <t>Malek</t>
  </si>
  <si>
    <t>Anas</t>
  </si>
  <si>
    <t>Ahmed</t>
  </si>
  <si>
    <t>Ramy</t>
  </si>
  <si>
    <t>Hassan</t>
  </si>
  <si>
    <t>Maged</t>
  </si>
  <si>
    <t>Amin</t>
  </si>
  <si>
    <t>Fahmy</t>
  </si>
  <si>
    <t>Mohamed</t>
  </si>
  <si>
    <t>Hossam</t>
  </si>
  <si>
    <t>Mamdouh</t>
  </si>
  <si>
    <t>Maher</t>
  </si>
  <si>
    <t>Loay</t>
  </si>
  <si>
    <t>Anany</t>
  </si>
  <si>
    <t>Hady</t>
  </si>
  <si>
    <t>Amr</t>
  </si>
  <si>
    <t>Foad</t>
  </si>
  <si>
    <t>Morad</t>
  </si>
  <si>
    <t>omar</t>
  </si>
  <si>
    <t>Osama</t>
  </si>
  <si>
    <t>Farah</t>
  </si>
  <si>
    <t>Points Possible</t>
  </si>
  <si>
    <t>Fire Employee 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</si>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</sst>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/>
    <xf numFmtId="0" fontId="0" fillId="0" borderId="0" xfId="0" applyAlignment="1">
      <alignment readingOrder="1"/>
    </xf>
    <xf numFmtId="9" fontId="0" fillId="0" borderId="0" xfId="1" applyFont="1" applyAlignment="1"/>
    <xf numFmtId="170" fontId="0" fillId="0" borderId="0" xfId="0" applyNumberFormat="1" applyAlignme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68941382327212E-2"/>
          <c:y val="0.15319444444444447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Karim</c:v>
                </c:pt>
                <c:pt idx="1">
                  <c:v>Osman</c:v>
                </c:pt>
                <c:pt idx="2">
                  <c:v>George</c:v>
                </c:pt>
                <c:pt idx="3">
                  <c:v>Malek</c:v>
                </c:pt>
                <c:pt idx="4">
                  <c:v>Anas</c:v>
                </c:pt>
                <c:pt idx="5">
                  <c:v>Ahmed</c:v>
                </c:pt>
                <c:pt idx="6">
                  <c:v>Ramy</c:v>
                </c:pt>
                <c:pt idx="7">
                  <c:v>Hassan</c:v>
                </c:pt>
                <c:pt idx="8">
                  <c:v>Maged</c:v>
                </c:pt>
                <c:pt idx="9">
                  <c:v>Amin</c:v>
                </c:pt>
                <c:pt idx="10">
                  <c:v>Fahmy</c:v>
                </c:pt>
                <c:pt idx="11">
                  <c:v>Mohamed</c:v>
                </c:pt>
                <c:pt idx="12">
                  <c:v>Hossam</c:v>
                </c:pt>
                <c:pt idx="13">
                  <c:v>Mamdouh</c:v>
                </c:pt>
                <c:pt idx="14">
                  <c:v>Maher</c:v>
                </c:pt>
                <c:pt idx="15">
                  <c:v>Loay</c:v>
                </c:pt>
                <c:pt idx="16">
                  <c:v>Anany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82A-AC30-F965B5C34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80024"/>
        <c:axId val="115281104"/>
      </c:barChart>
      <c:catAx>
        <c:axId val="11528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81104"/>
        <c:crosses val="autoZero"/>
        <c:auto val="1"/>
        <c:lblAlgn val="ctr"/>
        <c:lblOffset val="100"/>
        <c:noMultiLvlLbl val="0"/>
      </c:catAx>
      <c:valAx>
        <c:axId val="1152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80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172133203629273E-2"/>
          <c:y val="7.7292659290793514E-2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Karim</c:v>
                </c:pt>
                <c:pt idx="1">
                  <c:v>Osman</c:v>
                </c:pt>
                <c:pt idx="2">
                  <c:v>George</c:v>
                </c:pt>
                <c:pt idx="3">
                  <c:v>Malek</c:v>
                </c:pt>
                <c:pt idx="4">
                  <c:v>Anas</c:v>
                </c:pt>
                <c:pt idx="5">
                  <c:v>Ahmed</c:v>
                </c:pt>
                <c:pt idx="6">
                  <c:v>Ramy</c:v>
                </c:pt>
                <c:pt idx="7">
                  <c:v>Hassan</c:v>
                </c:pt>
                <c:pt idx="8">
                  <c:v>Maged</c:v>
                </c:pt>
                <c:pt idx="9">
                  <c:v>Amin</c:v>
                </c:pt>
                <c:pt idx="10">
                  <c:v>Fahmy</c:v>
                </c:pt>
                <c:pt idx="11">
                  <c:v>Mohamed</c:v>
                </c:pt>
                <c:pt idx="12">
                  <c:v>Hossam</c:v>
                </c:pt>
                <c:pt idx="13">
                  <c:v>Mamdouh</c:v>
                </c:pt>
                <c:pt idx="14">
                  <c:v>Maher</c:v>
                </c:pt>
                <c:pt idx="15">
                  <c:v>Loay</c:v>
                </c:pt>
                <c:pt idx="16">
                  <c:v>Anany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9-4112-AA02-4E0AFF2E0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133136"/>
        <c:axId val="334129176"/>
      </c:barChart>
      <c:catAx>
        <c:axId val="33413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29176"/>
        <c:crosses val="autoZero"/>
        <c:auto val="1"/>
        <c:lblAlgn val="ctr"/>
        <c:lblOffset val="100"/>
        <c:noMultiLvlLbl val="0"/>
      </c:catAx>
      <c:valAx>
        <c:axId val="33412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3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Skills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35405008336222"/>
          <c:y val="0.24835306428360396"/>
          <c:w val="0.85153376954641236"/>
          <c:h val="0.5231993136561977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Karim</c:v>
                </c:pt>
                <c:pt idx="1">
                  <c:v>Osman</c:v>
                </c:pt>
                <c:pt idx="2">
                  <c:v>George</c:v>
                </c:pt>
                <c:pt idx="3">
                  <c:v>Malek</c:v>
                </c:pt>
                <c:pt idx="4">
                  <c:v>Anas</c:v>
                </c:pt>
                <c:pt idx="5">
                  <c:v>Ahmed</c:v>
                </c:pt>
                <c:pt idx="6">
                  <c:v>Ramy</c:v>
                </c:pt>
                <c:pt idx="7">
                  <c:v>Hassan</c:v>
                </c:pt>
                <c:pt idx="8">
                  <c:v>Maged</c:v>
                </c:pt>
                <c:pt idx="9">
                  <c:v>Amin</c:v>
                </c:pt>
                <c:pt idx="10">
                  <c:v>Fahmy</c:v>
                </c:pt>
                <c:pt idx="11">
                  <c:v>Mohamed</c:v>
                </c:pt>
                <c:pt idx="12">
                  <c:v>Hossam</c:v>
                </c:pt>
                <c:pt idx="13">
                  <c:v>Mamdouh</c:v>
                </c:pt>
                <c:pt idx="14">
                  <c:v>Maher</c:v>
                </c:pt>
                <c:pt idx="15">
                  <c:v>Loay</c:v>
                </c:pt>
                <c:pt idx="16">
                  <c:v>Anany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D-4157-B0C7-723C9590F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128096"/>
        <c:axId val="334128456"/>
      </c:barChart>
      <c:catAx>
        <c:axId val="33412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28456"/>
        <c:crosses val="autoZero"/>
        <c:auto val="1"/>
        <c:lblAlgn val="ctr"/>
        <c:lblOffset val="100"/>
        <c:noMultiLvlLbl val="0"/>
      </c:catAx>
      <c:valAx>
        <c:axId val="33412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2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542925</xdr:colOff>
      <xdr:row>1</xdr:row>
      <xdr:rowOff>176212</xdr:rowOff>
    </xdr:from>
    <xdr:to>
      <xdr:col>20</xdr:col>
      <xdr:colOff>66675</xdr:colOff>
      <xdr:row>13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3E82D-83B1-AB4F-40A3-B66178B5A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542925</xdr:colOff>
      <xdr:row>13</xdr:row>
      <xdr:rowOff>180975</xdr:rowOff>
    </xdr:from>
    <xdr:to>
      <xdr:col>20</xdr:col>
      <xdr:colOff>76200</xdr:colOff>
      <xdr:row>25</xdr:row>
      <xdr:rowOff>90486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2FA991-7906-56CD-DE27-5FF614AE8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25</xdr:row>
      <xdr:rowOff>161924</xdr:rowOff>
    </xdr:from>
    <xdr:to>
      <xdr:col>20</xdr:col>
      <xdr:colOff>38100</xdr:colOff>
      <xdr:row>36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E095D3-ADB5-AF14-0901-D1344BD78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48B7-EB00-448A-AD7E-56D3FBC0F798}">
  <dimension ref="A1:M24"/>
  <sheetViews>
    <sheetView tabSelected="1" workbookViewId="0">
      <selection activeCell="E4" sqref="E4:E20"/>
    </sheetView>
  </sheetViews>
  <sheetFormatPr defaultRowHeight="15" x14ac:dyDescent="0.25"/>
  <cols>
    <col min="1" max="1" width="11.7109375" customWidth="1"/>
    <col min="2" max="2" width="14.85546875" customWidth="1"/>
    <col min="3" max="3" width="12.140625" style="1" customWidth="1"/>
    <col min="4" max="4" width="5.42578125" style="1" customWidth="1"/>
    <col min="5" max="5" width="8.140625" style="1" customWidth="1"/>
    <col min="6" max="6" width="5.42578125" style="1" customWidth="1"/>
    <col min="8" max="11" width="5.42578125" style="1" customWidth="1"/>
  </cols>
  <sheetData>
    <row r="1" spans="1:13" ht="80.25" x14ac:dyDescent="0.25">
      <c r="A1" t="s">
        <v>6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</v>
      </c>
      <c r="I1" s="1" t="s">
        <v>3</v>
      </c>
      <c r="J1" s="1" t="s">
        <v>4</v>
      </c>
      <c r="K1" s="1" t="s">
        <v>5</v>
      </c>
      <c r="M1" s="1" t="s">
        <v>32</v>
      </c>
    </row>
    <row r="2" spans="1:13" x14ac:dyDescent="0.25">
      <c r="B2" t="s">
        <v>31</v>
      </c>
      <c r="C2" s="3">
        <v>10</v>
      </c>
      <c r="D2" s="3">
        <v>20</v>
      </c>
      <c r="E2" s="3">
        <v>100</v>
      </c>
      <c r="F2" s="3">
        <v>1</v>
      </c>
      <c r="H2" s="3"/>
      <c r="I2" s="3"/>
      <c r="J2" s="3"/>
      <c r="K2" s="3"/>
    </row>
    <row r="3" spans="1:13" x14ac:dyDescent="0.25">
      <c r="A3" t="s">
        <v>0</v>
      </c>
      <c r="B3" t="s">
        <v>1</v>
      </c>
    </row>
    <row r="4" spans="1:13" x14ac:dyDescent="0.25">
      <c r="A4" t="s">
        <v>7</v>
      </c>
      <c r="B4" t="s">
        <v>27</v>
      </c>
      <c r="C4" s="2">
        <v>10</v>
      </c>
      <c r="D4" s="2">
        <v>19</v>
      </c>
      <c r="E4" s="2">
        <v>93</v>
      </c>
      <c r="F4" s="2">
        <v>1</v>
      </c>
      <c r="H4" s="4">
        <f>C4/C$2</f>
        <v>1</v>
      </c>
      <c r="I4" s="4">
        <f t="shared" ref="I4:K9" si="0">D4/D$2</f>
        <v>0.95</v>
      </c>
      <c r="J4" s="4">
        <f t="shared" si="0"/>
        <v>0.93</v>
      </c>
      <c r="K4" s="4">
        <f t="shared" si="0"/>
        <v>1</v>
      </c>
      <c r="M4" s="4" t="b">
        <f>OR(H4&lt;0.5,I4&lt;0.5,J4&lt;0.5,K4&lt;0.5)</f>
        <v>0</v>
      </c>
    </row>
    <row r="5" spans="1:13" x14ac:dyDescent="0.25">
      <c r="A5" t="s">
        <v>8</v>
      </c>
      <c r="B5" t="s">
        <v>12</v>
      </c>
      <c r="C5" s="2">
        <v>9</v>
      </c>
      <c r="D5" s="2">
        <v>20</v>
      </c>
      <c r="E5" s="2">
        <v>100</v>
      </c>
      <c r="F5" s="2">
        <v>1</v>
      </c>
      <c r="H5" s="4">
        <f t="shared" ref="H5:H20" si="1">C5/C$2</f>
        <v>0.9</v>
      </c>
      <c r="I5" s="4">
        <f t="shared" si="0"/>
        <v>1</v>
      </c>
      <c r="J5" s="4">
        <f t="shared" si="0"/>
        <v>1</v>
      </c>
      <c r="K5" s="4">
        <f t="shared" si="0"/>
        <v>1</v>
      </c>
      <c r="M5" s="4" t="b">
        <f t="shared" ref="M5:M20" si="2">OR(H5&lt;0.5,I5&lt;0.5,J5&lt;0.5,K5&lt;0.5)</f>
        <v>0</v>
      </c>
    </row>
    <row r="6" spans="1:13" x14ac:dyDescent="0.25">
      <c r="A6" t="s">
        <v>9</v>
      </c>
      <c r="B6" t="s">
        <v>24</v>
      </c>
      <c r="C6" s="2">
        <v>8</v>
      </c>
      <c r="D6" s="2">
        <v>17</v>
      </c>
      <c r="E6" s="2">
        <v>82</v>
      </c>
      <c r="F6" s="2">
        <v>1</v>
      </c>
      <c r="H6" s="4">
        <f t="shared" si="1"/>
        <v>0.8</v>
      </c>
      <c r="I6" s="4">
        <f t="shared" si="0"/>
        <v>0.85</v>
      </c>
      <c r="J6" s="4">
        <f t="shared" si="0"/>
        <v>0.82</v>
      </c>
      <c r="K6" s="4">
        <f t="shared" si="0"/>
        <v>1</v>
      </c>
      <c r="M6" s="4" t="b">
        <f t="shared" si="2"/>
        <v>0</v>
      </c>
    </row>
    <row r="7" spans="1:13" x14ac:dyDescent="0.25">
      <c r="A7" t="s">
        <v>10</v>
      </c>
      <c r="B7" t="s">
        <v>13</v>
      </c>
      <c r="C7" s="2">
        <v>9</v>
      </c>
      <c r="D7" s="2">
        <v>10</v>
      </c>
      <c r="E7" s="2">
        <v>73</v>
      </c>
      <c r="F7" s="2">
        <v>1</v>
      </c>
      <c r="H7" s="4">
        <f t="shared" si="1"/>
        <v>0.9</v>
      </c>
      <c r="I7" s="4">
        <f t="shared" si="0"/>
        <v>0.5</v>
      </c>
      <c r="J7" s="4">
        <f t="shared" si="0"/>
        <v>0.73</v>
      </c>
      <c r="K7" s="4">
        <f t="shared" si="0"/>
        <v>1</v>
      </c>
      <c r="M7" s="4" t="b">
        <f t="shared" si="2"/>
        <v>0</v>
      </c>
    </row>
    <row r="8" spans="1:13" x14ac:dyDescent="0.25">
      <c r="A8" t="s">
        <v>11</v>
      </c>
      <c r="B8" t="s">
        <v>12</v>
      </c>
      <c r="C8" s="2">
        <v>10</v>
      </c>
      <c r="D8" s="2">
        <v>20</v>
      </c>
      <c r="E8" s="2">
        <v>59</v>
      </c>
      <c r="F8" s="2">
        <v>1</v>
      </c>
      <c r="H8" s="4">
        <f t="shared" si="1"/>
        <v>1</v>
      </c>
      <c r="I8" s="4">
        <f t="shared" si="0"/>
        <v>1</v>
      </c>
      <c r="J8" s="4">
        <f t="shared" si="0"/>
        <v>0.59</v>
      </c>
      <c r="K8" s="4">
        <f t="shared" si="0"/>
        <v>1</v>
      </c>
      <c r="M8" s="4" t="b">
        <f t="shared" si="2"/>
        <v>0</v>
      </c>
    </row>
    <row r="9" spans="1:13" x14ac:dyDescent="0.25">
      <c r="A9" t="s">
        <v>12</v>
      </c>
      <c r="B9" t="s">
        <v>25</v>
      </c>
      <c r="C9" s="2">
        <v>9</v>
      </c>
      <c r="D9" s="2">
        <v>17</v>
      </c>
      <c r="E9" s="2">
        <v>100</v>
      </c>
      <c r="F9" s="2">
        <v>1</v>
      </c>
      <c r="H9" s="4">
        <f t="shared" si="1"/>
        <v>0.9</v>
      </c>
      <c r="I9" s="4">
        <f t="shared" si="0"/>
        <v>0.85</v>
      </c>
      <c r="J9" s="4">
        <f t="shared" si="0"/>
        <v>1</v>
      </c>
      <c r="K9" s="4">
        <f t="shared" si="0"/>
        <v>1</v>
      </c>
      <c r="M9" s="4" t="b">
        <f t="shared" si="2"/>
        <v>0</v>
      </c>
    </row>
    <row r="10" spans="1:13" x14ac:dyDescent="0.25">
      <c r="A10" t="s">
        <v>13</v>
      </c>
      <c r="B10" t="s">
        <v>25</v>
      </c>
      <c r="C10" s="2">
        <v>8</v>
      </c>
      <c r="D10" s="2">
        <v>20</v>
      </c>
      <c r="E10" s="2">
        <v>100</v>
      </c>
      <c r="F10" s="2">
        <v>0</v>
      </c>
      <c r="H10" s="4">
        <f t="shared" si="1"/>
        <v>0.8</v>
      </c>
      <c r="I10" s="4">
        <f t="shared" ref="I10:I16" si="3">D10/D$2</f>
        <v>1</v>
      </c>
      <c r="J10" s="4">
        <f t="shared" ref="J10:J16" si="4">E10/E$2</f>
        <v>1</v>
      </c>
      <c r="K10" s="4">
        <f t="shared" ref="K10:K16" si="5">F10/F$2</f>
        <v>0</v>
      </c>
      <c r="M10" s="4" t="b">
        <f t="shared" si="2"/>
        <v>1</v>
      </c>
    </row>
    <row r="11" spans="1:13" x14ac:dyDescent="0.25">
      <c r="A11" t="s">
        <v>14</v>
      </c>
      <c r="B11" t="s">
        <v>15</v>
      </c>
      <c r="C11" s="2">
        <v>5</v>
      </c>
      <c r="D11" s="2">
        <v>6</v>
      </c>
      <c r="E11" s="2">
        <v>100</v>
      </c>
      <c r="F11" s="2">
        <v>1</v>
      </c>
      <c r="H11" s="4">
        <f t="shared" si="1"/>
        <v>0.5</v>
      </c>
      <c r="I11" s="4">
        <f t="shared" si="3"/>
        <v>0.3</v>
      </c>
      <c r="J11" s="4">
        <f t="shared" si="4"/>
        <v>1</v>
      </c>
      <c r="K11" s="4">
        <f t="shared" si="5"/>
        <v>1</v>
      </c>
      <c r="M11" s="4" t="b">
        <f t="shared" si="2"/>
        <v>1</v>
      </c>
    </row>
    <row r="12" spans="1:13" x14ac:dyDescent="0.25">
      <c r="A12" t="s">
        <v>15</v>
      </c>
      <c r="B12" t="s">
        <v>26</v>
      </c>
      <c r="C12" s="2">
        <v>10</v>
      </c>
      <c r="D12" s="2">
        <v>20</v>
      </c>
      <c r="E12" s="2">
        <v>67</v>
      </c>
      <c r="F12" s="2">
        <v>1</v>
      </c>
      <c r="H12" s="4">
        <f t="shared" si="1"/>
        <v>1</v>
      </c>
      <c r="I12" s="4">
        <f t="shared" si="3"/>
        <v>1</v>
      </c>
      <c r="J12" s="4">
        <f t="shared" si="4"/>
        <v>0.67</v>
      </c>
      <c r="K12" s="4">
        <f t="shared" si="5"/>
        <v>1</v>
      </c>
      <c r="M12" s="4" t="b">
        <f t="shared" si="2"/>
        <v>0</v>
      </c>
    </row>
    <row r="13" spans="1:13" x14ac:dyDescent="0.25">
      <c r="A13" t="s">
        <v>16</v>
      </c>
      <c r="B13" t="s">
        <v>12</v>
      </c>
      <c r="C13" s="2">
        <v>9</v>
      </c>
      <c r="D13" s="2">
        <v>20</v>
      </c>
      <c r="E13" s="2">
        <v>70</v>
      </c>
      <c r="F13" s="2">
        <v>1</v>
      </c>
      <c r="H13" s="4">
        <f t="shared" si="1"/>
        <v>0.9</v>
      </c>
      <c r="I13" s="4">
        <f t="shared" si="3"/>
        <v>1</v>
      </c>
      <c r="J13" s="4">
        <f t="shared" si="4"/>
        <v>0.7</v>
      </c>
      <c r="K13" s="4">
        <f t="shared" si="5"/>
        <v>1</v>
      </c>
      <c r="M13" s="4" t="b">
        <f t="shared" si="2"/>
        <v>0</v>
      </c>
    </row>
    <row r="14" spans="1:13" x14ac:dyDescent="0.25">
      <c r="A14" t="s">
        <v>17</v>
      </c>
      <c r="B14" t="s">
        <v>27</v>
      </c>
      <c r="C14" s="2">
        <v>10</v>
      </c>
      <c r="D14" s="2">
        <v>19</v>
      </c>
      <c r="E14" s="2">
        <v>80</v>
      </c>
      <c r="F14" s="2">
        <v>1</v>
      </c>
      <c r="H14" s="4">
        <f t="shared" si="1"/>
        <v>1</v>
      </c>
      <c r="I14" s="4">
        <f t="shared" si="3"/>
        <v>0.95</v>
      </c>
      <c r="J14" s="4">
        <f t="shared" si="4"/>
        <v>0.8</v>
      </c>
      <c r="K14" s="4">
        <f t="shared" si="5"/>
        <v>1</v>
      </c>
      <c r="M14" s="4" t="b">
        <f t="shared" si="2"/>
        <v>0</v>
      </c>
    </row>
    <row r="15" spans="1:13" x14ac:dyDescent="0.25">
      <c r="A15" t="s">
        <v>18</v>
      </c>
      <c r="B15" t="s">
        <v>12</v>
      </c>
      <c r="C15" s="2">
        <v>8</v>
      </c>
      <c r="D15" s="2">
        <v>17</v>
      </c>
      <c r="E15" s="2">
        <v>90</v>
      </c>
      <c r="F15" s="2">
        <v>1</v>
      </c>
      <c r="H15" s="4">
        <f t="shared" si="1"/>
        <v>0.8</v>
      </c>
      <c r="I15" s="4">
        <f t="shared" si="3"/>
        <v>0.85</v>
      </c>
      <c r="J15" s="4">
        <f t="shared" si="4"/>
        <v>0.9</v>
      </c>
      <c r="K15" s="4">
        <f t="shared" si="5"/>
        <v>1</v>
      </c>
      <c r="M15" s="4" t="b">
        <f t="shared" si="2"/>
        <v>0</v>
      </c>
    </row>
    <row r="16" spans="1:13" x14ac:dyDescent="0.25">
      <c r="A16" t="s">
        <v>19</v>
      </c>
      <c r="B16" t="s">
        <v>16</v>
      </c>
      <c r="C16" s="2">
        <v>9</v>
      </c>
      <c r="D16" s="2">
        <v>19</v>
      </c>
      <c r="E16" s="2">
        <v>45</v>
      </c>
      <c r="F16" s="2">
        <v>0</v>
      </c>
      <c r="H16" s="4">
        <f t="shared" si="1"/>
        <v>0.9</v>
      </c>
      <c r="I16" s="4">
        <f t="shared" si="3"/>
        <v>0.95</v>
      </c>
      <c r="J16" s="4">
        <f t="shared" si="4"/>
        <v>0.45</v>
      </c>
      <c r="K16" s="4">
        <f t="shared" si="5"/>
        <v>0</v>
      </c>
      <c r="M16" s="4" t="b">
        <f t="shared" si="2"/>
        <v>1</v>
      </c>
    </row>
    <row r="17" spans="1:13" x14ac:dyDescent="0.25">
      <c r="A17" t="s">
        <v>20</v>
      </c>
      <c r="B17" t="s">
        <v>28</v>
      </c>
      <c r="C17" s="2">
        <v>7</v>
      </c>
      <c r="D17" s="2">
        <v>20</v>
      </c>
      <c r="E17" s="2">
        <v>90</v>
      </c>
      <c r="F17" s="2">
        <v>1</v>
      </c>
      <c r="H17" s="4">
        <f t="shared" si="1"/>
        <v>0.7</v>
      </c>
      <c r="I17" s="4">
        <f t="shared" ref="I17:I18" si="6">D17/D$2</f>
        <v>1</v>
      </c>
      <c r="J17" s="4">
        <f t="shared" ref="J17:J18" si="7">E17/E$2</f>
        <v>0.9</v>
      </c>
      <c r="K17" s="4">
        <f t="shared" ref="K17:K18" si="8">F17/F$2</f>
        <v>1</v>
      </c>
      <c r="M17" s="4" t="b">
        <f t="shared" si="2"/>
        <v>0</v>
      </c>
    </row>
    <row r="18" spans="1:13" x14ac:dyDescent="0.25">
      <c r="A18" t="s">
        <v>21</v>
      </c>
      <c r="B18" t="s">
        <v>12</v>
      </c>
      <c r="C18" s="2">
        <v>10</v>
      </c>
      <c r="D18" s="2">
        <v>10</v>
      </c>
      <c r="E18" s="2">
        <v>80</v>
      </c>
      <c r="F18" s="2">
        <v>1</v>
      </c>
      <c r="H18" s="4">
        <f t="shared" si="1"/>
        <v>1</v>
      </c>
      <c r="I18" s="4">
        <f t="shared" si="6"/>
        <v>0.5</v>
      </c>
      <c r="J18" s="4">
        <f t="shared" si="7"/>
        <v>0.8</v>
      </c>
      <c r="K18" s="4">
        <f t="shared" si="8"/>
        <v>1</v>
      </c>
      <c r="M18" s="4" t="b">
        <f t="shared" si="2"/>
        <v>0</v>
      </c>
    </row>
    <row r="19" spans="1:13" x14ac:dyDescent="0.25">
      <c r="A19" t="s">
        <v>22</v>
      </c>
      <c r="B19" t="s">
        <v>29</v>
      </c>
      <c r="C19" s="2">
        <v>11</v>
      </c>
      <c r="D19" s="2">
        <v>20</v>
      </c>
      <c r="E19" s="2">
        <v>69</v>
      </c>
      <c r="F19" s="2">
        <v>1</v>
      </c>
      <c r="H19" s="4">
        <f t="shared" si="1"/>
        <v>1.1000000000000001</v>
      </c>
      <c r="I19" s="4">
        <f t="shared" ref="I19:I20" si="9">D19/D$2</f>
        <v>1</v>
      </c>
      <c r="J19" s="4">
        <f t="shared" ref="J19:J20" si="10">E19/E$2</f>
        <v>0.69</v>
      </c>
      <c r="K19" s="4">
        <f t="shared" ref="K19:K20" si="11">F19/F$2</f>
        <v>1</v>
      </c>
      <c r="M19" s="4" t="b">
        <f t="shared" si="2"/>
        <v>0</v>
      </c>
    </row>
    <row r="20" spans="1:13" x14ac:dyDescent="0.25">
      <c r="A20" t="s">
        <v>23</v>
      </c>
      <c r="B20" t="s">
        <v>30</v>
      </c>
      <c r="C20" s="2">
        <v>10</v>
      </c>
      <c r="D20" s="2">
        <v>14</v>
      </c>
      <c r="E20" s="2">
        <v>90</v>
      </c>
      <c r="F20" s="2">
        <v>1</v>
      </c>
      <c r="H20" s="4">
        <f t="shared" si="1"/>
        <v>1</v>
      </c>
      <c r="I20" s="4">
        <f t="shared" si="9"/>
        <v>0.7</v>
      </c>
      <c r="J20" s="4">
        <f t="shared" si="10"/>
        <v>0.9</v>
      </c>
      <c r="K20" s="4">
        <f t="shared" si="11"/>
        <v>1</v>
      </c>
      <c r="M20" s="4" t="b">
        <f t="shared" si="2"/>
        <v>0</v>
      </c>
    </row>
    <row r="22" spans="1:13" x14ac:dyDescent="0.25">
      <c r="A22" t="s">
        <v>33</v>
      </c>
      <c r="C22" s="2">
        <f>MAX(C4:C20)</f>
        <v>11</v>
      </c>
      <c r="D22" s="2">
        <f t="shared" ref="D22:F22" si="12">MAX(D4:D20)</f>
        <v>20</v>
      </c>
      <c r="E22" s="2">
        <f t="shared" si="12"/>
        <v>100</v>
      </c>
      <c r="F22" s="2">
        <f t="shared" si="12"/>
        <v>1</v>
      </c>
      <c r="H22" s="4">
        <f>MAX(H4:H20)</f>
        <v>1.1000000000000001</v>
      </c>
      <c r="I22" s="4">
        <f t="shared" ref="I22:K22" si="13">MAX(I4:I20)</f>
        <v>1</v>
      </c>
      <c r="J22" s="4">
        <f t="shared" si="13"/>
        <v>1</v>
      </c>
      <c r="K22" s="4">
        <f t="shared" si="13"/>
        <v>1</v>
      </c>
    </row>
    <row r="23" spans="1:13" x14ac:dyDescent="0.25">
      <c r="A23" t="s">
        <v>34</v>
      </c>
      <c r="C23" s="2">
        <f>MIN(C4:C20)</f>
        <v>5</v>
      </c>
      <c r="D23" s="2">
        <f t="shared" ref="D23:F23" si="14">MIN(D4:D20)</f>
        <v>6</v>
      </c>
      <c r="E23" s="2">
        <f t="shared" si="14"/>
        <v>45</v>
      </c>
      <c r="F23" s="2">
        <f t="shared" si="14"/>
        <v>0</v>
      </c>
      <c r="H23" s="4">
        <f>MIN(H4:H20)</f>
        <v>0.5</v>
      </c>
      <c r="I23" s="4">
        <f t="shared" ref="I23:K23" si="15">MIN(I4:I20)</f>
        <v>0.3</v>
      </c>
      <c r="J23" s="4">
        <f t="shared" si="15"/>
        <v>0.45</v>
      </c>
      <c r="K23" s="4">
        <f t="shared" si="15"/>
        <v>0</v>
      </c>
    </row>
    <row r="24" spans="1:13" x14ac:dyDescent="0.25">
      <c r="A24" t="s">
        <v>35</v>
      </c>
      <c r="C24" s="5">
        <f>AVERAGE(C4:C20)</f>
        <v>8.9411764705882355</v>
      </c>
      <c r="D24" s="5">
        <f t="shared" ref="D24:F24" si="16">AVERAGE(D4:D20)</f>
        <v>16.941176470588236</v>
      </c>
      <c r="E24" s="5">
        <f t="shared" si="16"/>
        <v>81.647058823529406</v>
      </c>
      <c r="F24" s="5">
        <f t="shared" si="16"/>
        <v>0.88235294117647056</v>
      </c>
      <c r="H24" s="4">
        <f>AVERAGE(H4:H20)</f>
        <v>0.89411764705882346</v>
      </c>
      <c r="I24" s="4">
        <f t="shared" ref="I24:K24" si="17">AVERAGE(I4:I20)</f>
        <v>0.84705882352941153</v>
      </c>
      <c r="J24" s="4">
        <f t="shared" si="17"/>
        <v>0.81647058823529417</v>
      </c>
      <c r="K24" s="4">
        <f t="shared" si="17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 Maged</dc:creator>
  <cp:lastModifiedBy>Radwa Maged</cp:lastModifiedBy>
  <dcterms:created xsi:type="dcterms:W3CDTF">2024-06-02T20:46:37Z</dcterms:created>
  <dcterms:modified xsi:type="dcterms:W3CDTF">2024-06-02T21:55:00Z</dcterms:modified>
</cp:coreProperties>
</file>